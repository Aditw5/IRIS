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lab-kalibrasi\backend\public\import\lembarkerja\"/>
    </mc:Choice>
  </mc:AlternateContent>
  <xr:revisionPtr revIDLastSave="0" documentId="13_ncr:1_{68381456-87A4-4053-8FAA-2EF781A7953D}" xr6:coauthVersionLast="47" xr6:coauthVersionMax="47" xr10:uidLastSave="{00000000-0000-0000-0000-000000000000}"/>
  <bookViews>
    <workbookView xWindow="-90" yWindow="-90" windowWidth="19380" windowHeight="11460" xr2:uid="{56BE90D7-CC98-4592-AEF4-A4F5A2FF0510}"/>
  </bookViews>
  <sheets>
    <sheet name="lembar_kerja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1" l="1"/>
  <c r="G16" i="1"/>
  <c r="E16" i="1"/>
  <c r="C16" i="1"/>
  <c r="A16" i="1"/>
  <c r="I15" i="1"/>
  <c r="G15" i="1"/>
  <c r="E15" i="1"/>
  <c r="C15" i="1"/>
  <c r="A15" i="1"/>
  <c r="I14" i="1"/>
  <c r="G14" i="1"/>
  <c r="E14" i="1"/>
  <c r="C14" i="1"/>
  <c r="A14" i="1"/>
  <c r="I13" i="1"/>
  <c r="G13" i="1"/>
  <c r="E13" i="1"/>
  <c r="C13" i="1"/>
  <c r="A13" i="1"/>
  <c r="I12" i="1"/>
  <c r="G12" i="1"/>
  <c r="E12" i="1"/>
  <c r="C12" i="1"/>
  <c r="A12" i="1"/>
  <c r="I11" i="1"/>
  <c r="G11" i="1"/>
  <c r="E11" i="1"/>
  <c r="C11" i="1"/>
  <c r="A11" i="1"/>
  <c r="I10" i="1"/>
  <c r="G10" i="1"/>
  <c r="E10" i="1"/>
  <c r="C10" i="1"/>
  <c r="A10" i="1"/>
  <c r="I9" i="1"/>
  <c r="G9" i="1"/>
  <c r="E9" i="1"/>
  <c r="C9" i="1"/>
  <c r="A9" i="1"/>
  <c r="I8" i="1"/>
  <c r="G8" i="1"/>
  <c r="E8" i="1"/>
  <c r="C8" i="1"/>
  <c r="A8" i="1"/>
  <c r="I7" i="1"/>
  <c r="G7" i="1"/>
  <c r="E7" i="1"/>
  <c r="C7" i="1"/>
  <c r="A7" i="1"/>
  <c r="I6" i="1"/>
  <c r="G6" i="1"/>
  <c r="E6" i="1"/>
  <c r="C6" i="1"/>
  <c r="A6" i="1"/>
  <c r="I5" i="1"/>
  <c r="G5" i="1"/>
  <c r="E5" i="1"/>
  <c r="C5" i="1"/>
  <c r="A5" i="1"/>
  <c r="I4" i="1"/>
  <c r="G4" i="1"/>
  <c r="E4" i="1"/>
  <c r="C4" i="1"/>
  <c r="A4" i="1"/>
</calcChain>
</file>

<file path=xl/sharedStrings.xml><?xml version="1.0" encoding="utf-8"?>
<sst xmlns="http://schemas.openxmlformats.org/spreadsheetml/2006/main" count="76" uniqueCount="12">
  <si>
    <t>Rentang</t>
  </si>
  <si>
    <t>Penunjukan Standar</t>
  </si>
  <si>
    <t>Pembacaan Alat</t>
  </si>
  <si>
    <t>Koreksi</t>
  </si>
  <si>
    <t>Ketidakpastian</t>
  </si>
  <si>
    <t>Range</t>
  </si>
  <si>
    <t>Calibrator Output</t>
  </si>
  <si>
    <t>Instrument Reading</t>
  </si>
  <si>
    <t>Correction</t>
  </si>
  <si>
    <t>Uncertainty</t>
  </si>
  <si>
    <t>mm</t>
  </si>
  <si>
    <t>Feeler Gauge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</si>
</sst>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_ "/>
    <numFmt numFmtId="165" formatCode="0.00_ "/>
    <numFmt numFmtId="166" formatCode="0.0000000_ "/>
    <numFmt numFmtId="167" formatCode="0.0000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6">
    <xf numFmtId="0" fontId="0" fillId="0" borderId="0"/>
    <xf numFmtId="0" fontId="4" fillId="0" borderId="0"/>
    <xf numFmtId="0" fontId="7" fillId="0" borderId="0"/>
    <xf numFmtId="0" fontId="3" fillId="0" borderId="0"/>
    <xf numFmtId="0" fontId="2" fillId="0" borderId="0"/>
    <xf numFmtId="0" fontId="1" fillId="0" borderId="0"/>
  </cellStyleXfs>
  <cellXfs count="13">
    <xf numFmtId="0" fontId="0" fillId="0" borderId="0" xfId="0"/>
    <xf numFmtId="0" fontId="4" fillId="0" borderId="0" xfId="1"/>
    <xf numFmtId="0" fontId="5" fillId="0" borderId="1" xfId="1" applyFont="1" applyBorder="1"/>
    <xf numFmtId="164" fontId="4" fillId="0" borderId="0" xfId="1" applyNumberFormat="1"/>
    <xf numFmtId="166" fontId="4" fillId="0" borderId="0" xfId="1" applyNumberFormat="1"/>
    <xf numFmtId="165" fontId="4" fillId="0" borderId="0" xfId="1" applyNumberFormat="1"/>
    <xf numFmtId="167" fontId="4" fillId="0" borderId="0" xfId="1" applyNumberFormat="1"/>
    <xf numFmtId="0" fontId="6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2" fontId="4" fillId="0" borderId="2" xfId="1" applyNumberFormat="1" applyBorder="1" applyAlignment="1">
      <alignment vertical="center"/>
    </xf>
    <xf numFmtId="0" fontId="4" fillId="0" borderId="2" xfId="1" applyBorder="1" applyAlignment="1">
      <alignment vertical="center"/>
    </xf>
    <xf numFmtId="2" fontId="4" fillId="0" borderId="0" xfId="1" applyNumberFormat="1" applyAlignment="1">
      <alignment vertical="center"/>
    </xf>
    <xf numFmtId="0" fontId="4" fillId="0" borderId="0" xfId="1" applyAlignment="1">
      <alignment vertical="center"/>
    </xf>
  </cellXfs>
  <cellStyles count="6">
    <cellStyle name="Normal" xfId="0" builtinId="0"/>
    <cellStyle name="Normal 2 2" xfId="3" xr:uid="{E869DE8E-F0FD-4BD3-86D2-A74BDF9CEECD}"/>
    <cellStyle name="Normal 2 2 2" xfId="4" xr:uid="{29EAB18B-2C4A-438A-AAB5-BF91682E7E64}"/>
    <cellStyle name="Normal 2 2 3" xfId="5" xr:uid="{DF3963F3-1CC9-4E44-B4D0-98C1978E0323}"/>
    <cellStyle name="Normal 2 3" xfId="2" xr:uid="{1103B842-2183-4BF5-AC20-01D8CCA96FE4}"/>
    <cellStyle name="Normal 6" xfId="1" xr:uid="{6E597BF7-EB13-4896-8D1B-A7809E88B9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ADIT\Feeler%20Gauge%20(version%201).xlsb" TargetMode="External"/><Relationship Id="rId1" Type="http://schemas.openxmlformats.org/officeDocument/2006/relationships/externalLinkPath" Target="file:///D:\DATA%20ADIT\Feeler%20Gauge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EB"/>
      <sheetName val="SERTIFIKAT"/>
      <sheetName val="Data UUT"/>
      <sheetName val="1. Data Kalibrasi"/>
      <sheetName val="Sertifikat Standar"/>
      <sheetName val="Sertifikat Thermohygro"/>
      <sheetName val="2a. Data Peralatan Standar"/>
      <sheetName val="2b. Analisa Data Kalibrasi"/>
      <sheetName val="2c. Budget Uncertainty"/>
      <sheetName val="Catatan Revisi"/>
    </sheetNames>
    <sheetDataSet>
      <sheetData sheetId="0"/>
      <sheetData sheetId="1">
        <row r="65">
          <cell r="G65">
            <v>0.3011183729827101</v>
          </cell>
          <cell r="J65">
            <v>0.3</v>
          </cell>
          <cell r="O65">
            <v>1.1183729827101141E-3</v>
          </cell>
          <cell r="Q65">
            <v>1.2505637730966298E-3</v>
          </cell>
        </row>
        <row r="66">
          <cell r="G66">
            <v>0.10151837607371786</v>
          </cell>
          <cell r="J66">
            <v>0.1</v>
          </cell>
          <cell r="O66">
            <v>1.5183760737178531E-3</v>
          </cell>
          <cell r="Q66">
            <v>1.1765478508286072E-3</v>
          </cell>
        </row>
        <row r="67">
          <cell r="G67">
            <v>0.49621836996138929</v>
          </cell>
          <cell r="J67">
            <v>0.5</v>
          </cell>
          <cell r="O67">
            <v>-3.781630038610706E-3</v>
          </cell>
          <cell r="Q67">
            <v>1.1821290377813641E-3</v>
          </cell>
        </row>
        <row r="68">
          <cell r="G68">
            <v>9.1018376236320975E-2</v>
          </cell>
          <cell r="J68">
            <v>0.09</v>
          </cell>
          <cell r="O68">
            <v>1.0183762363209781E-3</v>
          </cell>
          <cell r="Q68">
            <v>1.1672535890232744E-3</v>
          </cell>
        </row>
        <row r="69">
          <cell r="G69">
            <v>8.2118376374146484E-2</v>
          </cell>
          <cell r="J69">
            <v>0.08</v>
          </cell>
          <cell r="O69">
            <v>2.1183763741464828E-3</v>
          </cell>
          <cell r="Q69">
            <v>1.1765478445841353E-3</v>
          </cell>
        </row>
        <row r="70">
          <cell r="G70">
            <v>0.49941836991183414</v>
          </cell>
          <cell r="J70">
            <v>0.5</v>
          </cell>
          <cell r="O70">
            <v>-5.8163008816586315E-4</v>
          </cell>
          <cell r="Q70">
            <v>1.1821290433403693E-3</v>
          </cell>
        </row>
        <row r="71">
          <cell r="G71">
            <v>0.40001837145114361</v>
          </cell>
          <cell r="J71">
            <v>0.4</v>
          </cell>
          <cell r="O71">
            <v>1.8371451143583961E-5</v>
          </cell>
          <cell r="Q71">
            <v>1.1672538570549039E-3</v>
          </cell>
        </row>
        <row r="72">
          <cell r="G72">
            <v>6.1118376699352724E-2</v>
          </cell>
          <cell r="J72">
            <v>0.06</v>
          </cell>
          <cell r="O72">
            <v>1.1183766993527258E-3</v>
          </cell>
          <cell r="Q72">
            <v>1.1765478393117369E-3</v>
          </cell>
        </row>
        <row r="73">
          <cell r="G73">
            <v>0.10071837608610668</v>
          </cell>
          <cell r="J73">
            <v>0.1</v>
          </cell>
          <cell r="O73">
            <v>7.1837608610667014E-4</v>
          </cell>
          <cell r="Q73">
            <v>1.1542419544233833E-3</v>
          </cell>
        </row>
        <row r="74">
          <cell r="G74">
            <v>0.19911837456228323</v>
          </cell>
          <cell r="J74">
            <v>0.2</v>
          </cell>
          <cell r="O74">
            <v>-8.8162543771677648E-4</v>
          </cell>
          <cell r="Q74">
            <v>1.1765479022597704E-3</v>
          </cell>
        </row>
        <row r="75">
          <cell r="G75">
            <v>0.15111837530561173</v>
          </cell>
          <cell r="J75">
            <v>0.15</v>
          </cell>
          <cell r="O75">
            <v>1.1183753056117351E-3</v>
          </cell>
          <cell r="Q75">
            <v>1.1765478727926704E-3</v>
          </cell>
        </row>
        <row r="76">
          <cell r="G76">
            <v>0.30061837299045313</v>
          </cell>
          <cell r="J76">
            <v>0.3</v>
          </cell>
          <cell r="O76">
            <v>6.1837299045314209E-4</v>
          </cell>
          <cell r="Q76">
            <v>1.2043811418547003E-3</v>
          </cell>
        </row>
      </sheetData>
      <sheetData sheetId="2"/>
      <sheetData sheetId="3">
        <row r="21">
          <cell r="A21">
            <v>0.3</v>
          </cell>
        </row>
        <row r="22">
          <cell r="A22">
            <v>0.1</v>
          </cell>
        </row>
        <row r="23">
          <cell r="A23">
            <v>0.5</v>
          </cell>
        </row>
        <row r="24">
          <cell r="A24">
            <v>0.09</v>
          </cell>
        </row>
        <row r="25">
          <cell r="A25">
            <v>0.08</v>
          </cell>
        </row>
        <row r="26">
          <cell r="A26">
            <v>0.5</v>
          </cell>
        </row>
        <row r="27">
          <cell r="A27">
            <v>0.4</v>
          </cell>
        </row>
        <row r="28">
          <cell r="A28">
            <v>0.06</v>
          </cell>
        </row>
        <row r="29">
          <cell r="A29">
            <v>0.1</v>
          </cell>
        </row>
        <row r="30">
          <cell r="A30">
            <v>0.2</v>
          </cell>
        </row>
        <row r="31">
          <cell r="A31">
            <v>0.15</v>
          </cell>
        </row>
        <row r="32">
          <cell r="A32">
            <v>0.3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0909-0261-431F-89E0-321A8FFEDF0A}">
  <dimension ref="A1:J16"/>
  <sheetViews>
    <sheetView tabSelected="1" zoomScale="68" workbookViewId="0">
      <selection activeCell="N14" sqref="N14"/>
    </sheetView>
  </sheetViews>
  <sheetFormatPr defaultColWidth="9" defaultRowHeight="14.75" x14ac:dyDescent="0.75"/>
  <cols>
    <col min="1" max="1" width="6.40625" style="1" customWidth="1"/>
    <col min="2" max="2" width="5.86328125" style="1" customWidth="1"/>
    <col min="3" max="3" width="16.26953125" style="1" customWidth="1"/>
    <col min="4" max="4" width="5" style="1" customWidth="1"/>
    <col min="5" max="5" width="15.40625" style="1" customWidth="1"/>
    <col min="6" max="6" width="5.86328125" style="1" customWidth="1"/>
    <col min="7" max="7" width="12.86328125" style="1" customWidth="1"/>
    <col min="8" max="8" width="8.86328125" style="1" customWidth="1"/>
    <col min="9" max="9" width="12.7265625" style="1" customWidth="1"/>
    <col min="10" max="10" width="12.26953125" style="1" customWidth="1"/>
    <col min="11" max="16384" width="9" style="1"/>
  </cols>
  <sheetData>
    <row r="1" spans="1:10" ht="16.75" thickBot="1" x14ac:dyDescent="0.95">
      <c r="A1" s="2" t="s">
        <v>11</v>
      </c>
      <c r="B1" s="2"/>
      <c r="C1" s="2"/>
      <c r="D1" s="2"/>
      <c r="E1" s="2"/>
      <c r="F1" s="2"/>
      <c r="G1" s="2"/>
      <c r="H1" s="2"/>
      <c r="I1" s="2"/>
      <c r="J1" s="2"/>
    </row>
    <row r="2" spans="1:10" ht="16.75" thickTop="1" x14ac:dyDescent="0.75">
      <c r="A2" s="8" t="s">
        <v>0</v>
      </c>
      <c r="B2" s="8"/>
      <c r="C2" s="8" t="s">
        <v>1</v>
      </c>
      <c r="D2" s="8"/>
      <c r="E2" s="8" t="s">
        <v>2</v>
      </c>
      <c r="F2" s="8"/>
      <c r="G2" s="8" t="s">
        <v>3</v>
      </c>
      <c r="H2" s="8"/>
      <c r="I2" s="8" t="s">
        <v>4</v>
      </c>
      <c r="J2" s="8"/>
    </row>
    <row r="3" spans="1:10" ht="15.5" thickBot="1" x14ac:dyDescent="0.9">
      <c r="A3" s="7" t="s">
        <v>5</v>
      </c>
      <c r="B3" s="7"/>
      <c r="C3" s="7" t="s">
        <v>6</v>
      </c>
      <c r="D3" s="7"/>
      <c r="E3" s="7" t="s">
        <v>7</v>
      </c>
      <c r="F3" s="7"/>
      <c r="G3" s="7" t="s">
        <v>8</v>
      </c>
      <c r="H3" s="7"/>
      <c r="I3" s="7" t="s">
        <v>9</v>
      </c>
      <c r="J3" s="7"/>
    </row>
    <row r="4" spans="1:10" ht="15.5" thickTop="1" x14ac:dyDescent="0.75">
      <c r="A4" s="9">
        <f>'[1]1. Data Kalibrasi'!A21</f>
        <v>0.3</v>
      </c>
      <c r="B4" s="10" t="s">
        <v>10</v>
      </c>
      <c r="C4" s="3">
        <f>[1]SERTIFIKAT!G65</f>
        <v>0.3011183729827101</v>
      </c>
      <c r="D4" s="5" t="s">
        <v>10</v>
      </c>
      <c r="E4" s="5">
        <f>[1]SERTIFIKAT!J65</f>
        <v>0.3</v>
      </c>
      <c r="F4" s="5" t="s">
        <v>10</v>
      </c>
      <c r="G4" s="5">
        <f>[1]SERTIFIKAT!O65</f>
        <v>1.1183729827101141E-3</v>
      </c>
      <c r="H4" s="5" t="s">
        <v>10</v>
      </c>
      <c r="I4" s="6">
        <f>[1]SERTIFIKAT!Q65</f>
        <v>1.2505637730966298E-3</v>
      </c>
      <c r="J4" s="4" t="s">
        <v>10</v>
      </c>
    </row>
    <row r="5" spans="1:10" x14ac:dyDescent="0.75">
      <c r="A5" s="11">
        <f>'[1]1. Data Kalibrasi'!A22</f>
        <v>0.1</v>
      </c>
      <c r="B5" s="12" t="s">
        <v>10</v>
      </c>
      <c r="C5" s="3">
        <f>[1]SERTIFIKAT!G66</f>
        <v>0.10151837607371786</v>
      </c>
      <c r="D5" s="5" t="s">
        <v>10</v>
      </c>
      <c r="E5" s="5">
        <f>[1]SERTIFIKAT!J66</f>
        <v>0.1</v>
      </c>
      <c r="F5" s="5" t="s">
        <v>10</v>
      </c>
      <c r="G5" s="5">
        <f>[1]SERTIFIKAT!O66</f>
        <v>1.5183760737178531E-3</v>
      </c>
      <c r="H5" s="5" t="s">
        <v>10</v>
      </c>
      <c r="I5" s="6">
        <f>[1]SERTIFIKAT!Q66</f>
        <v>1.1765478508286072E-3</v>
      </c>
      <c r="J5" s="4" t="s">
        <v>10</v>
      </c>
    </row>
    <row r="6" spans="1:10" x14ac:dyDescent="0.75">
      <c r="A6" s="11">
        <f>'[1]1. Data Kalibrasi'!A23</f>
        <v>0.5</v>
      </c>
      <c r="B6" s="12" t="s">
        <v>10</v>
      </c>
      <c r="C6" s="3">
        <f>[1]SERTIFIKAT!G67</f>
        <v>0.49621836996138929</v>
      </c>
      <c r="D6" s="5" t="s">
        <v>10</v>
      </c>
      <c r="E6" s="5">
        <f>[1]SERTIFIKAT!J67</f>
        <v>0.5</v>
      </c>
      <c r="F6" s="5" t="s">
        <v>10</v>
      </c>
      <c r="G6" s="5">
        <f>[1]SERTIFIKAT!O67</f>
        <v>-3.781630038610706E-3</v>
      </c>
      <c r="H6" s="5" t="s">
        <v>10</v>
      </c>
      <c r="I6" s="6">
        <f>[1]SERTIFIKAT!Q67</f>
        <v>1.1821290377813641E-3</v>
      </c>
      <c r="J6" s="4" t="s">
        <v>10</v>
      </c>
    </row>
    <row r="7" spans="1:10" x14ac:dyDescent="0.75">
      <c r="A7" s="11">
        <f>'[1]1. Data Kalibrasi'!A24</f>
        <v>0.09</v>
      </c>
      <c r="B7" s="12" t="s">
        <v>10</v>
      </c>
      <c r="C7" s="3">
        <f>[1]SERTIFIKAT!G68</f>
        <v>9.1018376236320975E-2</v>
      </c>
      <c r="D7" s="5" t="s">
        <v>10</v>
      </c>
      <c r="E7" s="5">
        <f>[1]SERTIFIKAT!J68</f>
        <v>0.09</v>
      </c>
      <c r="F7" s="5" t="s">
        <v>10</v>
      </c>
      <c r="G7" s="5">
        <f>[1]SERTIFIKAT!O68</f>
        <v>1.0183762363209781E-3</v>
      </c>
      <c r="H7" s="5" t="s">
        <v>10</v>
      </c>
      <c r="I7" s="6">
        <f>[1]SERTIFIKAT!Q68</f>
        <v>1.1672535890232744E-3</v>
      </c>
      <c r="J7" s="4" t="s">
        <v>10</v>
      </c>
    </row>
    <row r="8" spans="1:10" x14ac:dyDescent="0.75">
      <c r="A8" s="11">
        <f>'[1]1. Data Kalibrasi'!A25</f>
        <v>0.08</v>
      </c>
      <c r="B8" s="12" t="s">
        <v>10</v>
      </c>
      <c r="C8" s="3">
        <f>[1]SERTIFIKAT!G69</f>
        <v>8.2118376374146484E-2</v>
      </c>
      <c r="D8" s="5" t="s">
        <v>10</v>
      </c>
      <c r="E8" s="5">
        <f>[1]SERTIFIKAT!J69</f>
        <v>0.08</v>
      </c>
      <c r="F8" s="5" t="s">
        <v>10</v>
      </c>
      <c r="G8" s="5">
        <f>[1]SERTIFIKAT!O69</f>
        <v>2.1183763741464828E-3</v>
      </c>
      <c r="H8" s="5" t="s">
        <v>10</v>
      </c>
      <c r="I8" s="6">
        <f>[1]SERTIFIKAT!Q69</f>
        <v>1.1765478445841353E-3</v>
      </c>
      <c r="J8" s="4" t="s">
        <v>10</v>
      </c>
    </row>
    <row r="9" spans="1:10" x14ac:dyDescent="0.75">
      <c r="A9" s="11">
        <f>'[1]1. Data Kalibrasi'!A26</f>
        <v>0.5</v>
      </c>
      <c r="B9" s="12" t="s">
        <v>10</v>
      </c>
      <c r="C9" s="3">
        <f>[1]SERTIFIKAT!G70</f>
        <v>0.49941836991183414</v>
      </c>
      <c r="D9" s="5" t="s">
        <v>10</v>
      </c>
      <c r="E9" s="5">
        <f>[1]SERTIFIKAT!J70</f>
        <v>0.5</v>
      </c>
      <c r="F9" s="5" t="s">
        <v>10</v>
      </c>
      <c r="G9" s="5">
        <f>[1]SERTIFIKAT!O70</f>
        <v>-5.8163008816586315E-4</v>
      </c>
      <c r="H9" s="5" t="s">
        <v>10</v>
      </c>
      <c r="I9" s="6">
        <f>[1]SERTIFIKAT!Q70</f>
        <v>1.1821290433403693E-3</v>
      </c>
      <c r="J9" s="4" t="s">
        <v>10</v>
      </c>
    </row>
    <row r="10" spans="1:10" x14ac:dyDescent="0.75">
      <c r="A10" s="11">
        <f>'[1]1. Data Kalibrasi'!A27</f>
        <v>0.4</v>
      </c>
      <c r="B10" s="12" t="s">
        <v>10</v>
      </c>
      <c r="C10" s="3">
        <f>[1]SERTIFIKAT!G71</f>
        <v>0.40001837145114361</v>
      </c>
      <c r="D10" s="5" t="s">
        <v>10</v>
      </c>
      <c r="E10" s="5">
        <f>[1]SERTIFIKAT!J71</f>
        <v>0.4</v>
      </c>
      <c r="F10" s="5" t="s">
        <v>10</v>
      </c>
      <c r="G10" s="5">
        <f>[1]SERTIFIKAT!O71</f>
        <v>1.8371451143583961E-5</v>
      </c>
      <c r="H10" s="5" t="s">
        <v>10</v>
      </c>
      <c r="I10" s="6">
        <f>[1]SERTIFIKAT!Q71</f>
        <v>1.1672538570549039E-3</v>
      </c>
      <c r="J10" s="4" t="s">
        <v>10</v>
      </c>
    </row>
    <row r="11" spans="1:10" x14ac:dyDescent="0.75">
      <c r="A11" s="11">
        <f>'[1]1. Data Kalibrasi'!A28</f>
        <v>0.06</v>
      </c>
      <c r="B11" s="12" t="s">
        <v>10</v>
      </c>
      <c r="C11" s="3">
        <f>[1]SERTIFIKAT!G72</f>
        <v>6.1118376699352724E-2</v>
      </c>
      <c r="D11" s="5" t="s">
        <v>10</v>
      </c>
      <c r="E11" s="5">
        <f>[1]SERTIFIKAT!J72</f>
        <v>0.06</v>
      </c>
      <c r="F11" s="5" t="s">
        <v>10</v>
      </c>
      <c r="G11" s="5">
        <f>[1]SERTIFIKAT!O72</f>
        <v>1.1183766993527258E-3</v>
      </c>
      <c r="H11" s="5" t="s">
        <v>10</v>
      </c>
      <c r="I11" s="6">
        <f>[1]SERTIFIKAT!Q72</f>
        <v>1.1765478393117369E-3</v>
      </c>
      <c r="J11" s="4" t="s">
        <v>10</v>
      </c>
    </row>
    <row r="12" spans="1:10" x14ac:dyDescent="0.75">
      <c r="A12" s="11">
        <f>'[1]1. Data Kalibrasi'!A29</f>
        <v>0.1</v>
      </c>
      <c r="B12" s="12" t="s">
        <v>10</v>
      </c>
      <c r="C12" s="3">
        <f>[1]SERTIFIKAT!G73</f>
        <v>0.10071837608610668</v>
      </c>
      <c r="D12" s="5" t="s">
        <v>10</v>
      </c>
      <c r="E12" s="5">
        <f>[1]SERTIFIKAT!J73</f>
        <v>0.1</v>
      </c>
      <c r="F12" s="5" t="s">
        <v>10</v>
      </c>
      <c r="G12" s="5">
        <f>[1]SERTIFIKAT!O73</f>
        <v>7.1837608610667014E-4</v>
      </c>
      <c r="H12" s="5" t="s">
        <v>10</v>
      </c>
      <c r="I12" s="6">
        <f>[1]SERTIFIKAT!Q73</f>
        <v>1.1542419544233833E-3</v>
      </c>
      <c r="J12" s="4" t="s">
        <v>10</v>
      </c>
    </row>
    <row r="13" spans="1:10" x14ac:dyDescent="0.75">
      <c r="A13" s="11">
        <f>'[1]1. Data Kalibrasi'!A30</f>
        <v>0.2</v>
      </c>
      <c r="B13" s="12" t="s">
        <v>10</v>
      </c>
      <c r="C13" s="3">
        <f>[1]SERTIFIKAT!G74</f>
        <v>0.19911837456228323</v>
      </c>
      <c r="D13" s="5" t="s">
        <v>10</v>
      </c>
      <c r="E13" s="5">
        <f>[1]SERTIFIKAT!J74</f>
        <v>0.2</v>
      </c>
      <c r="F13" s="5" t="s">
        <v>10</v>
      </c>
      <c r="G13" s="5">
        <f>[1]SERTIFIKAT!O74</f>
        <v>-8.8162543771677648E-4</v>
      </c>
      <c r="H13" s="5" t="s">
        <v>10</v>
      </c>
      <c r="I13" s="6">
        <f>[1]SERTIFIKAT!Q74</f>
        <v>1.1765479022597704E-3</v>
      </c>
      <c r="J13" s="4" t="s">
        <v>10</v>
      </c>
    </row>
    <row r="14" spans="1:10" x14ac:dyDescent="0.75">
      <c r="A14" s="11">
        <f>'[1]1. Data Kalibrasi'!A31</f>
        <v>0.15</v>
      </c>
      <c r="B14" s="12" t="s">
        <v>10</v>
      </c>
      <c r="C14" s="3">
        <f>[1]SERTIFIKAT!G75</f>
        <v>0.15111837530561173</v>
      </c>
      <c r="D14" s="5" t="s">
        <v>10</v>
      </c>
      <c r="E14" s="5">
        <f>[1]SERTIFIKAT!J75</f>
        <v>0.15</v>
      </c>
      <c r="F14" s="5" t="s">
        <v>10</v>
      </c>
      <c r="G14" s="5">
        <f>[1]SERTIFIKAT!O75</f>
        <v>1.1183753056117351E-3</v>
      </c>
      <c r="H14" s="5" t="s">
        <v>10</v>
      </c>
      <c r="I14" s="6">
        <f>[1]SERTIFIKAT!Q75</f>
        <v>1.1765478727926704E-3</v>
      </c>
      <c r="J14" s="4" t="s">
        <v>10</v>
      </c>
    </row>
    <row r="15" spans="1:10" x14ac:dyDescent="0.75">
      <c r="A15" s="11">
        <f>'[1]1. Data Kalibrasi'!A32</f>
        <v>0.3</v>
      </c>
      <c r="B15" s="12" t="s">
        <v>10</v>
      </c>
      <c r="C15" s="3">
        <f>[1]SERTIFIKAT!G76</f>
        <v>0.30061837299045313</v>
      </c>
      <c r="D15" s="5" t="s">
        <v>10</v>
      </c>
      <c r="E15" s="5">
        <f>[1]SERTIFIKAT!J76</f>
        <v>0.3</v>
      </c>
      <c r="F15" s="5" t="s">
        <v>10</v>
      </c>
      <c r="G15" s="5">
        <f>[1]SERTIFIKAT!O76</f>
        <v>6.1837299045314209E-4</v>
      </c>
      <c r="H15" s="5" t="s">
        <v>10</v>
      </c>
      <c r="I15" s="6">
        <f>[1]SERTIFIKAT!Q76</f>
        <v>1.2043811418547003E-3</v>
      </c>
      <c r="J15" s="4" t="s">
        <v>10</v>
      </c>
    </row>
    <row r="16" spans="1:10" x14ac:dyDescent="0.75">
      <c r="A16" s="11">
        <f>'[1]1. Data Kalibrasi'!A33</f>
        <v>0</v>
      </c>
      <c r="B16" s="12" t="s">
        <v>10</v>
      </c>
      <c r="C16" s="3">
        <f>[1]SERTIFIKAT!G77</f>
        <v>0</v>
      </c>
      <c r="D16" s="5" t="s">
        <v>10</v>
      </c>
      <c r="E16" s="5">
        <f>[1]SERTIFIKAT!J77</f>
        <v>0</v>
      </c>
      <c r="F16" s="5" t="s">
        <v>10</v>
      </c>
      <c r="G16" s="5">
        <f>[1]SERTIFIKAT!O77</f>
        <v>0</v>
      </c>
      <c r="H16" s="5" t="s">
        <v>10</v>
      </c>
      <c r="I16" s="6">
        <f>[1]SERTIFIKAT!Q77</f>
        <v>0</v>
      </c>
      <c r="J16" s="4" t="s">
        <v>10</v>
      </c>
    </row>
  </sheetData>
  <mergeCells count="10">
    <mergeCell ref="A2:B2"/>
    <mergeCell ref="C2:D2"/>
    <mergeCell ref="E2:F2"/>
    <mergeCell ref="G2:H2"/>
    <mergeCell ref="I2:J2"/>
    <mergeCell ref="A3:B3"/>
    <mergeCell ref="C3:D3"/>
    <mergeCell ref="E3:F3"/>
    <mergeCell ref="G3:H3"/>
    <mergeCell ref="I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lembar_kerja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 PLN NP UMRO (1)</dc:creator>
  <cp:lastModifiedBy>Aditiya wiranda</cp:lastModifiedBy>
  <dcterms:created xsi:type="dcterms:W3CDTF">2025-06-10T01:39:06Z</dcterms:created>
  <dcterms:modified xsi:type="dcterms:W3CDTF">2026-09-14T02:53:02Z</dcterms:modified>
</cp:coreProperties>
</file>